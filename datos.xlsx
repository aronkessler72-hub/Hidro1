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o\OneDrive\Desktop\Repositorios\Hidro1\"/>
    </mc:Choice>
  </mc:AlternateContent>
  <xr:revisionPtr revIDLastSave="0" documentId="13_ncr:1_{7DCF2D29-FD79-4083-B347-63D1B6A04151}" xr6:coauthVersionLast="47" xr6:coauthVersionMax="47" xr10:uidLastSave="{00000000-0000-0000-0000-000000000000}"/>
  <bookViews>
    <workbookView xWindow="-120" yWindow="-120" windowWidth="29040" windowHeight="15720" activeTab="2" xr2:uid="{4946304E-808B-4F57-9620-AE781020ABA9}"/>
  </bookViews>
  <sheets>
    <sheet name="PropiedadesAgua" sheetId="2" r:id="rId1"/>
    <sheet name="TuberiaData" sheetId="1" r:id="rId2"/>
    <sheet name="Rugosida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<sst xmlns="http://schemas.openxmlformats.org/spreadsheetml/2006/main" count="21" uniqueCount="21">
  <si>
    <t>Nombre</t>
  </si>
  <si>
    <t>Diametro_m</t>
  </si>
  <si>
    <t>Area_m2</t>
  </si>
  <si>
    <t>TUBERIA PVC 1/2"</t>
  </si>
  <si>
    <t>TUBERIA PVC 3/4"</t>
  </si>
  <si>
    <t>TUBERIA PVC 1"</t>
  </si>
  <si>
    <t>TUBERIA FG 1/2"</t>
  </si>
  <si>
    <t>TUBERIA FG 3/4"</t>
  </si>
  <si>
    <t>TUBERIA FG 1"</t>
  </si>
  <si>
    <t>TUBERIA HDPE 1/2"</t>
  </si>
  <si>
    <t>TUBERIA HDPE 3/4"</t>
  </si>
  <si>
    <t>TUBERIA HDPE 1"</t>
  </si>
  <si>
    <t>Temp</t>
  </si>
  <si>
    <t>Visc_Cinem</t>
  </si>
  <si>
    <t>Densidad</t>
  </si>
  <si>
    <t>Visc_Dinam</t>
  </si>
  <si>
    <t>PVC</t>
  </si>
  <si>
    <t>FG</t>
  </si>
  <si>
    <t>HDPE</t>
  </si>
  <si>
    <t>Material</t>
  </si>
  <si>
    <t>Rugosidad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</si>
</sst>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E+00"/>
    <numFmt numFmtId="166" formatCode="0.0000000000"/>
    <numFmt numFmtId="167" formatCode="0.0000000"/>
    <numFmt numFmtId="168" formatCode="0.000000000"/>
  </numFmts>
  <fonts count="6" x14ac:knownFonts="1">
    <font>
      <sz val="11"/>
      <color theme="1"/>
      <name val="Century Gothic"/>
      <family val="2"/>
      <scheme val="minor"/>
    </font>
    <font>
      <sz val="10"/>
      <color theme="1"/>
      <name val="Arial Unicode MS"/>
      <family val="2"/>
    </font>
    <font>
      <sz val="10"/>
      <color theme="1"/>
      <name val="Century Gothic"/>
      <family val="2"/>
      <scheme val="minor"/>
    </font>
    <font>
      <sz val="10"/>
      <name val="Century Gothic"/>
      <family val="2"/>
      <scheme val="minor"/>
    </font>
    <font>
      <sz val="8"/>
      <name val="Century Gothic"/>
      <family val="2"/>
      <scheme val="minor"/>
    </font>
    <font>
      <u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5" fillId="0" borderId="0" xfId="0" applyFont="1"/>
    <xf numFmtId="1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table">
  <a:themeElements>
    <a:clrScheme name="Ci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Ci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i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D00A-F079-4DED-BBD0-593E59863DD3}">
  <dimension ref="A1:H19"/>
  <sheetViews>
    <sheetView zoomScale="160" zoomScaleNormal="160" workbookViewId="0">
      <selection activeCell="C9" sqref="C9"/>
    </sheetView>
  </sheetViews>
  <sheetFormatPr baseColWidth="10" defaultRowHeight="16.5" x14ac:dyDescent="0.3"/>
  <cols>
    <col min="2" max="2" width="28.375" customWidth="1"/>
    <col min="5" max="5" width="23.875" customWidth="1"/>
  </cols>
  <sheetData>
    <row r="1" spans="1:8" x14ac:dyDescent="0.3">
      <c r="A1" t="s">
        <v>12</v>
      </c>
      <c r="B1" t="s">
        <v>13</v>
      </c>
      <c r="C1" t="s">
        <v>14</v>
      </c>
      <c r="D1" t="s">
        <v>15</v>
      </c>
    </row>
    <row r="2" spans="1:8" x14ac:dyDescent="0.3">
      <c r="A2" s="7">
        <v>0</v>
      </c>
      <c r="B2" s="8">
        <v>1.75E-6</v>
      </c>
      <c r="C2" s="9">
        <v>1000</v>
      </c>
      <c r="D2" s="10">
        <v>1.781E-3</v>
      </c>
    </row>
    <row r="3" spans="1:8" x14ac:dyDescent="0.3">
      <c r="A3" s="7">
        <v>5</v>
      </c>
      <c r="B3" s="8">
        <v>1.5200000000000001E-6</v>
      </c>
      <c r="C3" s="9">
        <v>1000</v>
      </c>
      <c r="D3" s="10">
        <v>1.518E-3</v>
      </c>
    </row>
    <row r="4" spans="1:8" x14ac:dyDescent="0.3">
      <c r="A4" s="7">
        <v>10</v>
      </c>
      <c r="B4" s="8">
        <v>1.3E-6</v>
      </c>
      <c r="C4" s="9">
        <v>1000</v>
      </c>
      <c r="D4" s="10">
        <v>1.307E-3</v>
      </c>
      <c r="E4" s="3"/>
    </row>
    <row r="5" spans="1:8" x14ac:dyDescent="0.3">
      <c r="A5" s="7">
        <v>15</v>
      </c>
      <c r="B5" s="8">
        <v>1.15E-6</v>
      </c>
      <c r="C5" s="9">
        <v>1000</v>
      </c>
      <c r="D5" s="10">
        <v>1.139E-3</v>
      </c>
    </row>
    <row r="6" spans="1:8" x14ac:dyDescent="0.3">
      <c r="A6" s="7">
        <v>20</v>
      </c>
      <c r="B6" s="8">
        <v>1.02E-6</v>
      </c>
      <c r="C6" s="9">
        <v>998</v>
      </c>
      <c r="D6" s="10">
        <v>1.1019999999999999E-3</v>
      </c>
    </row>
    <row r="7" spans="1:8" x14ac:dyDescent="0.3">
      <c r="A7" s="7">
        <v>25</v>
      </c>
      <c r="B7" s="8">
        <v>8.9400000000000004E-7</v>
      </c>
      <c r="C7" s="9">
        <v>997</v>
      </c>
      <c r="D7" s="10">
        <v>8.8999999999999995E-4</v>
      </c>
    </row>
    <row r="8" spans="1:8" x14ac:dyDescent="0.3">
      <c r="A8" s="7">
        <v>30</v>
      </c>
      <c r="B8" s="8">
        <v>8.0299999999999998E-7</v>
      </c>
      <c r="C8" s="9">
        <v>996</v>
      </c>
      <c r="D8" s="10">
        <v>7.0799999999999997E-4</v>
      </c>
    </row>
    <row r="9" spans="1:8" x14ac:dyDescent="0.3">
      <c r="A9" s="7">
        <v>40</v>
      </c>
      <c r="B9" s="8">
        <v>6.5600000000000005E-7</v>
      </c>
      <c r="C9" s="9">
        <v>992</v>
      </c>
      <c r="D9" s="10">
        <v>6.5300000000000004E-4</v>
      </c>
    </row>
    <row r="10" spans="1:8" x14ac:dyDescent="0.3">
      <c r="A10" s="7">
        <v>50</v>
      </c>
      <c r="B10" s="8">
        <v>5.4799999999999998E-7</v>
      </c>
      <c r="C10" s="9">
        <v>988</v>
      </c>
      <c r="D10" s="10">
        <v>5.4699999999999996E-4</v>
      </c>
      <c r="G10" s="5"/>
    </row>
    <row r="11" spans="1:8" x14ac:dyDescent="0.3">
      <c r="A11" s="7">
        <v>60</v>
      </c>
      <c r="B11" s="8">
        <v>4.6699999999999999E-7</v>
      </c>
      <c r="C11" s="9">
        <v>984</v>
      </c>
      <c r="D11" s="10">
        <v>4.66E-4</v>
      </c>
    </row>
    <row r="12" spans="1:8" x14ac:dyDescent="0.3">
      <c r="A12" s="7">
        <v>70</v>
      </c>
      <c r="B12" s="8">
        <v>4.1100000000000001E-7</v>
      </c>
      <c r="C12" s="9">
        <v>978</v>
      </c>
      <c r="D12" s="10">
        <v>4.0400000000000001E-4</v>
      </c>
    </row>
    <row r="13" spans="1:8" x14ac:dyDescent="0.3">
      <c r="A13" s="7">
        <v>80</v>
      </c>
      <c r="B13" s="8">
        <v>3.5999999999999999E-7</v>
      </c>
      <c r="C13" s="9">
        <v>971</v>
      </c>
      <c r="D13" s="10">
        <v>3.5399999999999999E-4</v>
      </c>
    </row>
    <row r="14" spans="1:8" x14ac:dyDescent="0.3">
      <c r="A14" s="7">
        <v>90</v>
      </c>
      <c r="B14" s="8">
        <v>3.22E-7</v>
      </c>
      <c r="C14" s="9">
        <v>965</v>
      </c>
      <c r="D14" s="10">
        <v>3.1500000000000001E-4</v>
      </c>
      <c r="H14" s="6"/>
    </row>
    <row r="15" spans="1:8" x14ac:dyDescent="0.3">
      <c r="A15" s="7">
        <v>100</v>
      </c>
      <c r="B15" s="8">
        <v>2.9400000000000001E-7</v>
      </c>
      <c r="C15" s="9">
        <v>958</v>
      </c>
      <c r="D15" s="10">
        <v>2.8200000000000002E-4</v>
      </c>
    </row>
    <row r="16" spans="1:8" x14ac:dyDescent="0.3">
      <c r="B16" s="4"/>
    </row>
    <row r="17" spans="2:6" x14ac:dyDescent="0.3">
      <c r="B17" s="4"/>
      <c r="F17" s="6"/>
    </row>
    <row r="18" spans="2:6" x14ac:dyDescent="0.3">
      <c r="B18" s="4"/>
    </row>
    <row r="19" spans="2:6" x14ac:dyDescent="0.3">
      <c r="B19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E60F-005F-43D4-92C1-B89A902BA3E4}">
  <dimension ref="A1:C10"/>
  <sheetViews>
    <sheetView workbookViewId="0">
      <selection activeCell="E21" sqref="E21"/>
    </sheetView>
  </sheetViews>
  <sheetFormatPr baseColWidth="10" defaultRowHeight="16.5" x14ac:dyDescent="0.3"/>
  <cols>
    <col min="1" max="1" width="37.5" customWidth="1"/>
    <col min="2" max="2" width="22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s="2">
        <v>1.7399999999999999E-2</v>
      </c>
      <c r="C2" s="2">
        <f>(PI()*(B2)^2)/4</f>
        <v>2.377871479502114E-4</v>
      </c>
    </row>
    <row r="3" spans="1:3" x14ac:dyDescent="0.3">
      <c r="A3" t="s">
        <v>4</v>
      </c>
      <c r="B3" s="2">
        <v>2.29E-2</v>
      </c>
      <c r="C3" s="2">
        <f t="shared" ref="C3:C10" si="0">(PI()*(B3)^2)/4</f>
        <v>4.1187065086725587E-4</v>
      </c>
    </row>
    <row r="4" spans="1:3" x14ac:dyDescent="0.3">
      <c r="A4" t="s">
        <v>5</v>
      </c>
      <c r="B4" s="2">
        <v>2.9399999999999999E-2</v>
      </c>
      <c r="C4" s="2">
        <f t="shared" si="0"/>
        <v>6.7886675651421843E-4</v>
      </c>
    </row>
    <row r="5" spans="1:3" x14ac:dyDescent="0.3">
      <c r="A5" t="s">
        <v>6</v>
      </c>
      <c r="B5" s="2">
        <v>1.7079999999999998E-2</v>
      </c>
      <c r="C5" s="2">
        <f t="shared" si="0"/>
        <v>2.2912137877454931E-4</v>
      </c>
    </row>
    <row r="6" spans="1:3" x14ac:dyDescent="0.3">
      <c r="A6" t="s">
        <v>7</v>
      </c>
      <c r="B6" s="2">
        <v>2.248E-2</v>
      </c>
      <c r="C6" s="2">
        <f t="shared" si="0"/>
        <v>3.9690127603216589E-4</v>
      </c>
    </row>
    <row r="7" spans="1:3" x14ac:dyDescent="0.3">
      <c r="A7" t="s">
        <v>8</v>
      </c>
      <c r="B7" s="2">
        <v>2.7859999999999999E-2</v>
      </c>
      <c r="C7" s="2">
        <f t="shared" si="0"/>
        <v>6.0961003230656607E-4</v>
      </c>
    </row>
    <row r="8" spans="1:3" x14ac:dyDescent="0.3">
      <c r="A8" t="s">
        <v>9</v>
      </c>
      <c r="B8" s="2">
        <v>1.6199999999999999E-2</v>
      </c>
      <c r="C8" s="2">
        <f t="shared" si="0"/>
        <v>2.0611989400202629E-4</v>
      </c>
    </row>
    <row r="9" spans="1:3" x14ac:dyDescent="0.3">
      <c r="A9" t="s">
        <v>10</v>
      </c>
      <c r="B9" s="2">
        <v>2.06E-2</v>
      </c>
      <c r="C9" s="2">
        <f t="shared" si="0"/>
        <v>3.3329156461934118E-4</v>
      </c>
    </row>
    <row r="10" spans="1:3" x14ac:dyDescent="0.3">
      <c r="A10" t="s">
        <v>11</v>
      </c>
      <c r="B10" s="2">
        <v>2.6199999999999998E-2</v>
      </c>
      <c r="C10" s="2">
        <f t="shared" si="0"/>
        <v>5.3912871528254429E-4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1C54-6F92-4AE5-AE7C-79990FF069F8}">
  <dimension ref="A1:B4"/>
  <sheetViews>
    <sheetView tabSelected="1" workbookViewId="0">
      <selection activeCell="B7" sqref="B7"/>
    </sheetView>
  </sheetViews>
  <sheetFormatPr baseColWidth="10" defaultRowHeight="16.5" x14ac:dyDescent="0.3"/>
  <cols>
    <col min="1" max="1" width="39.125" customWidth="1"/>
    <col min="2" max="2" width="26.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16</v>
      </c>
      <c r="B2" s="11">
        <v>1.5E-6</v>
      </c>
    </row>
    <row r="3" spans="1:2" x14ac:dyDescent="0.3">
      <c r="A3" t="s">
        <v>17</v>
      </c>
      <c r="B3" s="11">
        <v>1.4999999999999999E-4</v>
      </c>
    </row>
    <row r="4" spans="1:2" x14ac:dyDescent="0.3">
      <c r="A4" t="s">
        <v>18</v>
      </c>
      <c r="B4" s="11">
        <v>1.5E-6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PropiedadesAgua</vt:lpstr>
      <vt:lpstr>TuberiaData</vt:lpstr>
      <vt:lpstr>Rugosidad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RAUL CONDORI BUSTINCIO</dc:creator>
  <cp:lastModifiedBy>VICTOR RAUL CONDORI BUSTINCIO</cp:lastModifiedBy>
  <dcterms:created xsi:type="dcterms:W3CDTF">2026-04-18T17:50:22Z</dcterms:created>
  <dcterms:modified xsi:type="dcterms:W3CDTF">2026-04-22T23:58:49Z</dcterms:modified>
</cp:coreProperties>
</file>